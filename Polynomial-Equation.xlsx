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rshad-Masood\Seminar\ConferenceArticle\RF-SVM-Poly\"/>
    </mc:Choice>
  </mc:AlternateContent>
  <xr:revisionPtr revIDLastSave="0" documentId="13_ncr:1_{011E113E-71FD-4651-A932-7F4A014B2F95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H7" i="1"/>
  <c r="C17" i="1"/>
  <c r="D17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H15" i="1" l="1"/>
  <c r="G11" i="1"/>
  <c r="G7" i="1"/>
  <c r="G3" i="1"/>
  <c r="H16" i="1"/>
  <c r="H12" i="1"/>
  <c r="H4" i="1"/>
  <c r="H14" i="1"/>
  <c r="G10" i="1"/>
  <c r="G4" i="1"/>
  <c r="G8" i="1"/>
  <c r="G12" i="1"/>
  <c r="G16" i="1"/>
  <c r="H8" i="1"/>
  <c r="H9" i="1"/>
  <c r="G9" i="1"/>
  <c r="G17" i="1"/>
  <c r="G5" i="1"/>
  <c r="G13" i="1"/>
  <c r="H13" i="1"/>
  <c r="H5" i="1"/>
  <c r="H17" i="1"/>
  <c r="G15" i="1"/>
  <c r="H6" i="1"/>
  <c r="H11" i="1"/>
  <c r="H3" i="1"/>
  <c r="G14" i="1"/>
  <c r="G6" i="1"/>
  <c r="H2" i="1"/>
  <c r="H10" i="1"/>
  <c r="G2" i="1"/>
  <c r="G19" i="1" l="1"/>
  <c r="H19" i="1"/>
</calcChain>
</file>

<file path=xl/sharedStrings.xml><?xml version="1.0" encoding="utf-8"?>
<sst xmlns="http://schemas.openxmlformats.org/spreadsheetml/2006/main" count="24" uniqueCount="15">
  <si>
    <t>NS</t>
  </si>
  <si>
    <t>W</t>
  </si>
  <si>
    <t>Disp</t>
  </si>
  <si>
    <t>Den</t>
  </si>
  <si>
    <t>RWD</t>
  </si>
  <si>
    <t>Dep</t>
  </si>
  <si>
    <t>S poly</t>
  </si>
  <si>
    <t>Displacement</t>
  </si>
  <si>
    <t>S Curve</t>
  </si>
  <si>
    <t>Max-Stress</t>
  </si>
  <si>
    <t>Max-PINN</t>
  </si>
  <si>
    <t>Cohesion (PINN)</t>
  </si>
  <si>
    <t>Friction angle (PINN)</t>
  </si>
  <si>
    <t>Friction angle (PE)</t>
  </si>
  <si>
    <t>Cohesion (PE)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</si>
</sst>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Sheet1!$H$2:$H$17</c:f>
              <c:numCache>
                <c:formatCode>General</c:formatCode>
                <c:ptCount val="16"/>
                <c:pt idx="0">
                  <c:v>19.727625156318769</c:v>
                </c:pt>
                <c:pt idx="1">
                  <c:v>24.699971869662015</c:v>
                </c:pt>
                <c:pt idx="2">
                  <c:v>29.389154029860844</c:v>
                </c:pt>
                <c:pt idx="3">
                  <c:v>33.795171636915242</c:v>
                </c:pt>
                <c:pt idx="4">
                  <c:v>37.918024690825199</c:v>
                </c:pt>
                <c:pt idx="5">
                  <c:v>41.757713191590724</c:v>
                </c:pt>
                <c:pt idx="6">
                  <c:v>45.314237139211812</c:v>
                </c:pt>
                <c:pt idx="7">
                  <c:v>48.587596533688483</c:v>
                </c:pt>
                <c:pt idx="8">
                  <c:v>51.577791375020709</c:v>
                </c:pt>
                <c:pt idx="9">
                  <c:v>54.284821663208518</c:v>
                </c:pt>
                <c:pt idx="10">
                  <c:v>56.708687398251882</c:v>
                </c:pt>
                <c:pt idx="11">
                  <c:v>58.849388580150809</c:v>
                </c:pt>
                <c:pt idx="12">
                  <c:v>60.706925208905311</c:v>
                </c:pt>
                <c:pt idx="13">
                  <c:v>62.281297284515418</c:v>
                </c:pt>
                <c:pt idx="14">
                  <c:v>63.572504806981037</c:v>
                </c:pt>
                <c:pt idx="15">
                  <c:v>64.580547776302254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12-4372-8779-DA65FFCB0AAD}"/>
            </c:ext>
          </c:extLst>
        </c:ser>
        <c:ser>
          <c:idx val="1"/>
          <c:order val="1"/>
          <c:tx>
            <c:v>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Sheet1!$I$2:$I$17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Sheet1!$G$2:$G$17</c:f>
              <c:numCache>
                <c:formatCode>General</c:formatCode>
                <c:ptCount val="16"/>
                <c:pt idx="0">
                  <c:v>24.042667741247502</c:v>
                </c:pt>
                <c:pt idx="1">
                  <c:v>28.251685579280664</c:v>
                </c:pt>
                <c:pt idx="2">
                  <c:v>32.179334593043826</c:v>
                </c:pt>
                <c:pt idx="3">
                  <c:v>35.825614782536967</c:v>
                </c:pt>
                <c:pt idx="4">
                  <c:v>39.190526147760103</c:v>
                </c:pt>
                <c:pt idx="5">
                  <c:v>42.274068688713221</c:v>
                </c:pt>
                <c:pt idx="6">
                  <c:v>45.07624240539635</c:v>
                </c:pt>
                <c:pt idx="7">
                  <c:v>47.597047297809446</c:v>
                </c:pt>
                <c:pt idx="8">
                  <c:v>49.836483365952539</c:v>
                </c:pt>
                <c:pt idx="9">
                  <c:v>51.794550609825627</c:v>
                </c:pt>
                <c:pt idx="10">
                  <c:v>53.471249029428712</c:v>
                </c:pt>
                <c:pt idx="11">
                  <c:v>54.866578624761765</c:v>
                </c:pt>
                <c:pt idx="12">
                  <c:v>55.980539395824827</c:v>
                </c:pt>
                <c:pt idx="13">
                  <c:v>56.813131342617872</c:v>
                </c:pt>
                <c:pt idx="14">
                  <c:v>57.364354465140913</c:v>
                </c:pt>
                <c:pt idx="15">
                  <c:v>57.634208763393936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12-4372-8779-DA65FFCB0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942447"/>
        <c:axId val="1410951087"/>
      </c:scatterChart>
      <c:valAx>
        <c:axId val="141094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51087"/>
        <c:crosses val="autoZero"/>
        <c:crossBetween val="midCat"/>
      </c:valAx>
      <c:valAx>
        <c:axId val="14109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Sheet1!$K$19:$K$21</c:f>
              <c:numCache>
                <c:formatCode>General</c:formatCode>
                <c:ptCount val="3"/>
                <c:pt idx="0">
                  <c:v>25</c:v>
                </c:pt>
                <c:pt idx="1">
                  <c:v>35</c:v>
                </c:pt>
                <c:pt idx="2">
                  <c:v>45</c:v>
                </c:pt>
              </c:numCache>
            </c:numRef>
          </c:xVal>
          <c:yVal>
            <c:numRef>
              <c:f>Sheet1!$L$19:$L$21</c:f>
              <c:numCache>
                <c:formatCode>General</c:formatCode>
                <c:ptCount val="3"/>
                <c:pt idx="0">
                  <c:v>13.4914636611938</c:v>
                </c:pt>
                <c:pt idx="1">
                  <c:v>17.810396194458001</c:v>
                </c:pt>
                <c:pt idx="2">
                  <c:v>21.624010086059499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1-409F-8DA8-73B0A3560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454079"/>
        <c:axId val="375452639"/>
      </c:scatterChart>
      <c:valAx>
        <c:axId val="37545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52639"/>
        <c:crosses val="autoZero"/>
        <c:crossBetween val="midCat"/>
      </c:valAx>
      <c:valAx>
        <c:axId val="3754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</a:t>
                </a:r>
                <a:r>
                  <a:rPr lang="en-US" baseline="0"/>
                  <a:t>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5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Cohesion (PE)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Sheet1!$V$2:$V$37</c:f>
              <c:numCache>
                <c:formatCode>0.00</c:formatCode>
                <c:ptCount val="36"/>
                <c:pt idx="0">
                  <c:v>5.5572999999999997</c:v>
                </c:pt>
                <c:pt idx="3">
                  <c:v>7.8583999999999996</c:v>
                </c:pt>
                <c:pt idx="6">
                  <c:v>9.6271000000000004</c:v>
                </c:pt>
                <c:pt idx="9">
                  <c:v>10.82</c:v>
                </c:pt>
                <c:pt idx="12">
                  <c:v>11.583</c:v>
                </c:pt>
                <c:pt idx="15">
                  <c:v>11.664</c:v>
                </c:pt>
                <c:pt idx="18">
                  <c:v>3.6233</c:v>
                </c:pt>
                <c:pt idx="21">
                  <c:v>5.6801000000000004</c:v>
                </c:pt>
                <c:pt idx="24">
                  <c:v>7.3857999999999997</c:v>
                </c:pt>
                <c:pt idx="27">
                  <c:v>8.4048999999999996</c:v>
                </c:pt>
                <c:pt idx="30">
                  <c:v>9.0074000000000005</c:v>
                </c:pt>
                <c:pt idx="33">
                  <c:v>9.0114000000000001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E-450D-892A-738DE624EB45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Friction angle (PE)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Sheet1!$W$2:$W$37</c:f>
              <c:numCache>
                <c:formatCode>0.00</c:formatCode>
                <c:ptCount val="36"/>
                <c:pt idx="0">
                  <c:v>25.868746550000001</c:v>
                </c:pt>
                <c:pt idx="3">
                  <c:v>26.898680550000002</c:v>
                </c:pt>
                <c:pt idx="6">
                  <c:v>27.896744529999999</c:v>
                </c:pt>
                <c:pt idx="9">
                  <c:v>28.94698</c:v>
                </c:pt>
                <c:pt idx="12">
                  <c:v>29.847000000000001</c:v>
                </c:pt>
                <c:pt idx="15">
                  <c:v>30.917391869999999</c:v>
                </c:pt>
                <c:pt idx="18">
                  <c:v>22.200371279999999</c:v>
                </c:pt>
                <c:pt idx="21">
                  <c:v>23.422260789999999</c:v>
                </c:pt>
                <c:pt idx="24">
                  <c:v>24.380033690000001</c:v>
                </c:pt>
                <c:pt idx="27">
                  <c:v>25.533806139999999</c:v>
                </c:pt>
                <c:pt idx="30">
                  <c:v>26.519196220000001</c:v>
                </c:pt>
                <c:pt idx="33">
                  <c:v>27.569061420000001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E-450D-892A-738DE624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1261568"/>
        <c:axId val="981258688"/>
      </c:barChart>
      <c:catAx>
        <c:axId val="9812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58688"/>
        <c:crosses val="autoZero"/>
        <c:auto val="1"/>
        <c:lblAlgn val="ctr"/>
        <c:lblOffset val="100"/>
        <c:noMultiLvlLbl val="0"/>
      </c:catAx>
      <c:valAx>
        <c:axId val="9812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6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299565</xdr:colOff>
      <xdr:row>0</xdr:row>
      <xdr:rowOff>172759</xdr:rowOff>
    </xdr:from>
    <xdr:to>
      <xdr:col>16</xdr:col>
      <xdr:colOff>596221</xdr:colOff>
      <xdr:row>16</xdr:row>
      <xdr:rowOff>30829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3DED4-83F1-A966-F758-01BEA3A54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49444</xdr:colOff>
      <xdr:row>21</xdr:row>
      <xdr:rowOff>68056</xdr:rowOff>
    </xdr:from>
    <xdr:to>
      <xdr:col>16</xdr:col>
      <xdr:colOff>346100</xdr:colOff>
      <xdr:row>36</xdr:row>
      <xdr:rowOff>106447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1B6A34-CDED-74E5-BF64-6D6E426FF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72709</xdr:colOff>
      <xdr:row>37</xdr:row>
      <xdr:rowOff>91323</xdr:rowOff>
    </xdr:from>
    <xdr:to>
      <xdr:col>23</xdr:col>
      <xdr:colOff>317015</xdr:colOff>
      <xdr:row>52</xdr:row>
      <xdr:rowOff>129714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25E40-BE1B-830E-8ED8-4E88109CB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topLeftCell="Q11" zoomScale="131" zoomScaleNormal="131" workbookViewId="0">
      <selection activeCell="S15" sqref="S15"/>
    </sheetView>
  </sheetViews>
  <sheetFormatPr defaultRowHeight="14.4" x14ac:dyDescent="0.3"/>
  <cols>
    <col min="22" max="22" width="9" bestFit="1" customWidth="1"/>
    <col min="23" max="24" width="9.5546875" bestFit="1" customWidth="1"/>
  </cols>
  <sheetData>
    <row r="1" spans="1:32" x14ac:dyDescent="0.3">
      <c r="A1" s="1" t="s">
        <v>0</v>
      </c>
      <c r="B1" s="1" t="s">
        <v>1</v>
      </c>
      <c r="C1" s="1" t="s">
        <v>5</v>
      </c>
      <c r="D1" s="1" t="s">
        <v>3</v>
      </c>
      <c r="E1" s="1" t="s">
        <v>2</v>
      </c>
      <c r="F1" s="1" t="s">
        <v>4</v>
      </c>
      <c r="G1" s="1" t="s">
        <v>8</v>
      </c>
      <c r="H1" s="1" t="s">
        <v>6</v>
      </c>
      <c r="I1" s="1" t="s">
        <v>7</v>
      </c>
      <c r="R1" s="1" t="s">
        <v>0</v>
      </c>
      <c r="S1" s="1" t="s">
        <v>1</v>
      </c>
      <c r="T1" s="1" t="s">
        <v>4</v>
      </c>
      <c r="U1" s="1" t="s">
        <v>9</v>
      </c>
      <c r="V1" s="1" t="s">
        <v>14</v>
      </c>
      <c r="W1" s="1" t="s">
        <v>13</v>
      </c>
      <c r="X1" s="1" t="s">
        <v>10</v>
      </c>
      <c r="Y1" s="1" t="s">
        <v>11</v>
      </c>
      <c r="Z1" s="1" t="s">
        <v>12</v>
      </c>
      <c r="AA1" s="1" t="s">
        <v>1</v>
      </c>
      <c r="AB1" s="1" t="s">
        <v>4</v>
      </c>
      <c r="AC1" s="1" t="s">
        <v>14</v>
      </c>
      <c r="AD1" s="1" t="s">
        <v>13</v>
      </c>
      <c r="AE1" s="1" t="s">
        <v>11</v>
      </c>
      <c r="AF1" s="1" t="s">
        <v>12</v>
      </c>
    </row>
    <row r="2" spans="1:32" x14ac:dyDescent="0.3">
      <c r="A2" s="1">
        <f>(90 - 47.4286) / 24.8818</f>
        <v>1.7109453496129701</v>
      </c>
      <c r="B2" s="1">
        <f>(30 - 34.5946) / 5.1684</f>
        <v>-0.8889791811779274</v>
      </c>
      <c r="C2" s="1">
        <f>(10 - 10.2143) / 5.5218</f>
        <v>-3.8809808395812911E-2</v>
      </c>
      <c r="D2" s="1">
        <f>(1.5 - 1.4934) / 0.0564</f>
        <v>0.1170212765957436</v>
      </c>
      <c r="E2" s="1">
        <f>(0 - 7.5) / 4.4721</f>
        <v>-1.6770644663580867</v>
      </c>
      <c r="F2" s="1">
        <f>(5 - 1.5343) / 2.0726</f>
        <v>1.6721509215478143</v>
      </c>
      <c r="G2" s="1">
        <f>27.196777+(9.443083*A2)+(6.171357*E2)+(3.349049*F2)+(-2.813643*E2^2)+(2.246492*A2*E2)+(-1.501412*B2)+(-0.54866*F2^2)+(-0.158965*D2^2)</f>
        <v>24.042667741247502</v>
      </c>
      <c r="H2">
        <f xml:space="preserve"> 27.0132 + (9.8884 * A2) + (0.6726 * C2) + (-1.8761 * B2) + (4.0457 * F2) + (1.9375 * D2) + (6.1825 *E2) + (-0.3432 * A2^2) + (-0.036 * A2* C2) + (-0.5289 * A2* B2) + (0.5983 * A2* F2) + (-1.3238 * A2* D2) + (2.2092 * A2 *E2) + (0.5772 * C2^2) + (-0.927 * C2* B2) + (-0.3694 * C2* F2) + (-0.5414 * C2* D2) + (0.4415 * C2 *E2) + (0.1632 * B2^2) + (0.1323 * B2*F2) + (0.3152 * B2* D2) + (-1.1227 * B2 *E2) + (-1.3194 * F2^2) + (0.4508 * F2* D2) + (1.4414 * F2 *E2) + (0.7434 * D2^2) + (0.1621 * D2 *E2) + (-2.8316 *E2^ 2)</f>
        <v>19.727625156318769</v>
      </c>
      <c r="I2">
        <v>0</v>
      </c>
      <c r="R2" s="1">
        <v>25</v>
      </c>
      <c r="S2" s="1">
        <v>30</v>
      </c>
      <c r="T2" s="1">
        <v>0</v>
      </c>
      <c r="U2" s="2">
        <v>17.693390000000001</v>
      </c>
      <c r="V2" s="2">
        <v>5.5572999999999997</v>
      </c>
      <c r="W2" s="2">
        <v>25.868746550000001</v>
      </c>
      <c r="X2" s="2">
        <v>17.23655128479</v>
      </c>
      <c r="Y2" s="2">
        <v>6.3410000000000002</v>
      </c>
      <c r="Z2" s="2">
        <v>23.509040219999999</v>
      </c>
      <c r="AA2" s="1">
        <v>30</v>
      </c>
      <c r="AB2" s="1">
        <v>0</v>
      </c>
      <c r="AC2" s="2">
        <v>5.5572999999999997</v>
      </c>
      <c r="AD2" s="2">
        <v>25.868746550000001</v>
      </c>
      <c r="AE2" s="2">
        <v>6.3410000000000002</v>
      </c>
      <c r="AF2" s="2">
        <v>23.509040219999999</v>
      </c>
    </row>
    <row r="3" spans="1:32" x14ac:dyDescent="0.3">
      <c r="A3" s="1">
        <f t="shared" ref="A3:A17" si="0">(90 - 47.4286) / 24.8818</f>
        <v>1.7109453496129701</v>
      </c>
      <c r="B3" s="1">
        <f t="shared" ref="B3:B17" si="1">(30 - 34.5946) / 5.1684</f>
        <v>-0.8889791811779274</v>
      </c>
      <c r="C3" s="1">
        <f t="shared" ref="C3:C17" si="2">(10 - 10.2143) / 5.5218</f>
        <v>-3.8809808395812911E-2</v>
      </c>
      <c r="D3" s="1">
        <f t="shared" ref="D3:D17" si="3">(1.5 - 1.4934) / 0.0564</f>
        <v>0.1170212765957436</v>
      </c>
      <c r="E3" s="1">
        <f>(1 - 7.5) / 4.4721</f>
        <v>-1.4534558708436751</v>
      </c>
      <c r="F3" s="1">
        <f t="shared" ref="F3:F17" si="4">(5 - 1.5343) / 2.0726</f>
        <v>1.6721509215478143</v>
      </c>
      <c r="G3" s="1">
        <f t="shared" ref="G3:G17" si="5">27.196777+(9.443083*A3)+(6.171357*E3)+(3.349049*F3)+(-2.813643*E3^2)+(2.246492*A3*E3)+(-1.501412*B3)+(-0.54866*F3^2)+(-0.158965*D3^2)</f>
        <v>28.251685579280664</v>
      </c>
      <c r="H3">
        <f t="shared" ref="H3:H17" si="6" xml:space="preserve"> 27.0132 + (9.8884 * A3) + (0.6726 * C3) + (-1.8761 * B3) + (4.0457 * F3) + (1.9375 * D3) + (6.1825 *E3) + (-0.3432 * A3^2) + (-0.036 * A3* C3) + (-0.5289 * A3* B3) + (0.5983 * A3* F3) + (-1.3238 * A3* D3) + (2.2092 * A3 *E3) + (0.5772 * C3^2) + (-0.927 * C3* B3) + (-0.3694 * C3* F3) + (-0.5414 * C3* D3) + (0.4415 * C3 *E3) + (0.1632 * B3^2) + (0.1323 * B3*F3) + (0.3152 * B3* D3) + (-1.1227 * B3 *E3) + (-1.3194 * F3^2) + (0.4508 * F3* D3) + (1.4414 * F3 *E3) + (0.7434 * D3^2) + (0.1621 * D3 *E3) + (-2.8316 *E3^ 2)</f>
        <v>24.699971869662015</v>
      </c>
      <c r="I3">
        <v>1</v>
      </c>
      <c r="R3" s="1">
        <v>35</v>
      </c>
      <c r="S3" s="1">
        <v>30</v>
      </c>
      <c r="T3" s="1">
        <v>0</v>
      </c>
      <c r="U3" s="2">
        <v>22.504919999999998</v>
      </c>
      <c r="V3" s="2"/>
      <c r="W3" s="2"/>
      <c r="X3" s="2">
        <v>21.527278900146399</v>
      </c>
      <c r="Y3" s="2"/>
      <c r="Z3" s="2"/>
      <c r="AC3" s="2"/>
      <c r="AD3" s="2"/>
      <c r="AE3" s="2"/>
      <c r="AF3" s="2"/>
    </row>
    <row r="4" spans="1:32" x14ac:dyDescent="0.3">
      <c r="A4" s="1">
        <f t="shared" si="0"/>
        <v>1.7109453496129701</v>
      </c>
      <c r="B4" s="1">
        <f t="shared" si="1"/>
        <v>-0.8889791811779274</v>
      </c>
      <c r="C4" s="1">
        <f t="shared" si="2"/>
        <v>-3.8809808395812911E-2</v>
      </c>
      <c r="D4" s="1">
        <f t="shared" si="3"/>
        <v>0.1170212765957436</v>
      </c>
      <c r="E4" s="1">
        <f>(2 - 7.5) / 4.4721</f>
        <v>-1.2298472753292635</v>
      </c>
      <c r="F4" s="1">
        <f t="shared" si="4"/>
        <v>1.6721509215478143</v>
      </c>
      <c r="G4" s="1">
        <f t="shared" si="5"/>
        <v>32.179334593043826</v>
      </c>
      <c r="H4">
        <f t="shared" si="6"/>
        <v>29.389154029860844</v>
      </c>
      <c r="I4">
        <v>2</v>
      </c>
      <c r="R4" s="1">
        <v>45</v>
      </c>
      <c r="S4" s="1">
        <v>30</v>
      </c>
      <c r="T4" s="1">
        <v>0</v>
      </c>
      <c r="U4" s="2">
        <v>27.392140000000001</v>
      </c>
      <c r="V4" s="2"/>
      <c r="W4" s="2"/>
      <c r="X4" s="2">
        <v>25.937114715576101</v>
      </c>
      <c r="Y4" s="2"/>
      <c r="Z4" s="2"/>
      <c r="AC4" s="2"/>
      <c r="AD4" s="2"/>
      <c r="AE4" s="2"/>
      <c r="AF4" s="2"/>
    </row>
    <row r="5" spans="1:32" x14ac:dyDescent="0.3">
      <c r="A5" s="1">
        <f t="shared" si="0"/>
        <v>1.7109453496129701</v>
      </c>
      <c r="B5" s="1">
        <f t="shared" si="1"/>
        <v>-0.8889791811779274</v>
      </c>
      <c r="C5" s="1">
        <f t="shared" si="2"/>
        <v>-3.8809808395812911E-2</v>
      </c>
      <c r="D5" s="1">
        <f t="shared" si="3"/>
        <v>0.1170212765957436</v>
      </c>
      <c r="E5" s="1">
        <f>(3 - 7.5) / 4.4721</f>
        <v>-1.0062386798148519</v>
      </c>
      <c r="F5" s="1">
        <f t="shared" si="4"/>
        <v>1.6721509215478143</v>
      </c>
      <c r="G5" s="1">
        <f t="shared" si="5"/>
        <v>35.825614782536967</v>
      </c>
      <c r="H5">
        <f t="shared" si="6"/>
        <v>33.795171636915242</v>
      </c>
      <c r="I5">
        <v>3</v>
      </c>
      <c r="R5" s="1">
        <v>25</v>
      </c>
      <c r="S5" s="1">
        <v>30</v>
      </c>
      <c r="T5" s="1">
        <v>1</v>
      </c>
      <c r="U5" s="2">
        <v>20.54044738305641</v>
      </c>
      <c r="V5" s="2">
        <v>7.8583999999999996</v>
      </c>
      <c r="W5" s="2">
        <v>26.898680550000002</v>
      </c>
      <c r="X5" s="2">
        <v>21.1069011688232</v>
      </c>
      <c r="Y5" s="2">
        <v>8.5083000000000002</v>
      </c>
      <c r="Z5" s="2">
        <v>26.688676350000001</v>
      </c>
      <c r="AA5" s="1">
        <v>30</v>
      </c>
      <c r="AB5" s="1">
        <v>1</v>
      </c>
      <c r="AC5" s="2">
        <v>7.8583999999999996</v>
      </c>
      <c r="AD5" s="2">
        <v>26.898680550000002</v>
      </c>
      <c r="AE5" s="2">
        <v>8.5083000000000002</v>
      </c>
      <c r="AF5" s="2">
        <v>26.688676350000001</v>
      </c>
    </row>
    <row r="6" spans="1:32" x14ac:dyDescent="0.3">
      <c r="A6" s="1">
        <f t="shared" si="0"/>
        <v>1.7109453496129701</v>
      </c>
      <c r="B6" s="1">
        <f t="shared" si="1"/>
        <v>-0.8889791811779274</v>
      </c>
      <c r="C6" s="1">
        <f t="shared" si="2"/>
        <v>-3.8809808395812911E-2</v>
      </c>
      <c r="D6" s="1">
        <f t="shared" si="3"/>
        <v>0.1170212765957436</v>
      </c>
      <c r="E6" s="1">
        <f>(4 - 7.5) / 4.4721</f>
        <v>-0.78263008430044045</v>
      </c>
      <c r="F6" s="1">
        <f t="shared" si="4"/>
        <v>1.6721509215478143</v>
      </c>
      <c r="G6" s="1">
        <f t="shared" si="5"/>
        <v>39.190526147760103</v>
      </c>
      <c r="H6">
        <f t="shared" si="6"/>
        <v>37.918024690825199</v>
      </c>
      <c r="I6">
        <v>4</v>
      </c>
      <c r="R6" s="1">
        <v>35</v>
      </c>
      <c r="S6" s="1">
        <v>30</v>
      </c>
      <c r="T6" s="1">
        <v>1</v>
      </c>
      <c r="U6" s="2">
        <v>25.611531433693575</v>
      </c>
      <c r="V6" s="2"/>
      <c r="W6" s="2"/>
      <c r="X6" s="2">
        <v>26.0406379699707</v>
      </c>
      <c r="Y6" s="2"/>
      <c r="Z6" s="2"/>
      <c r="AC6" s="2"/>
      <c r="AD6" s="2"/>
      <c r="AE6" s="2"/>
      <c r="AF6" s="2"/>
    </row>
    <row r="7" spans="1:32" x14ac:dyDescent="0.3">
      <c r="A7" s="1">
        <f t="shared" si="0"/>
        <v>1.7109453496129701</v>
      </c>
      <c r="B7" s="1">
        <f t="shared" si="1"/>
        <v>-0.8889791811779274</v>
      </c>
      <c r="C7" s="1">
        <f t="shared" si="2"/>
        <v>-3.8809808395812911E-2</v>
      </c>
      <c r="D7" s="1">
        <f t="shared" si="3"/>
        <v>0.1170212765957436</v>
      </c>
      <c r="E7" s="1">
        <f>(5 - 7.5) / 4.4721</f>
        <v>-0.55902148878602886</v>
      </c>
      <c r="F7" s="1">
        <f t="shared" si="4"/>
        <v>1.6721509215478143</v>
      </c>
      <c r="G7" s="1">
        <f t="shared" si="5"/>
        <v>42.274068688713221</v>
      </c>
      <c r="H7">
        <f t="shared" si="6"/>
        <v>41.757713191590724</v>
      </c>
      <c r="I7">
        <v>5</v>
      </c>
      <c r="R7" s="1">
        <v>45</v>
      </c>
      <c r="S7" s="1">
        <v>30</v>
      </c>
      <c r="T7" s="1">
        <v>1</v>
      </c>
      <c r="U7" s="2">
        <v>30.685659999999999</v>
      </c>
      <c r="V7" s="2"/>
      <c r="W7" s="2"/>
      <c r="X7" s="2">
        <v>31.160902023315401</v>
      </c>
      <c r="Y7" s="2"/>
      <c r="Z7" s="2"/>
      <c r="AC7" s="2"/>
      <c r="AD7" s="2"/>
      <c r="AE7" s="2"/>
      <c r="AF7" s="2"/>
    </row>
    <row r="8" spans="1:32" x14ac:dyDescent="0.3">
      <c r="A8" s="1">
        <f t="shared" si="0"/>
        <v>1.7109453496129701</v>
      </c>
      <c r="B8" s="1">
        <f t="shared" si="1"/>
        <v>-0.8889791811779274</v>
      </c>
      <c r="C8" s="1">
        <f t="shared" si="2"/>
        <v>-3.8809808395812911E-2</v>
      </c>
      <c r="D8" s="1">
        <f t="shared" si="3"/>
        <v>0.1170212765957436</v>
      </c>
      <c r="E8" s="1">
        <f>(6 - 7.5) / 4.4721</f>
        <v>-0.33541289327161733</v>
      </c>
      <c r="F8" s="1">
        <f t="shared" si="4"/>
        <v>1.6721509215478143</v>
      </c>
      <c r="G8" s="1">
        <f t="shared" si="5"/>
        <v>45.07624240539635</v>
      </c>
      <c r="H8">
        <f t="shared" si="6"/>
        <v>45.314237139211812</v>
      </c>
      <c r="I8">
        <v>6</v>
      </c>
      <c r="R8" s="1">
        <v>25</v>
      </c>
      <c r="S8" s="1">
        <v>30</v>
      </c>
      <c r="T8" s="1">
        <v>2</v>
      </c>
      <c r="U8" s="2">
        <v>22.873724170776985</v>
      </c>
      <c r="V8" s="2">
        <v>9.6271000000000004</v>
      </c>
      <c r="W8" s="2">
        <v>27.896744529999999</v>
      </c>
      <c r="X8" s="2">
        <v>23.135238647460898</v>
      </c>
      <c r="Y8" s="2">
        <v>8.3370999999999995</v>
      </c>
      <c r="Z8" s="2">
        <v>30.739949330000002</v>
      </c>
      <c r="AA8" s="1">
        <v>30</v>
      </c>
      <c r="AB8" s="1">
        <v>2</v>
      </c>
      <c r="AC8" s="2">
        <v>9.6271000000000004</v>
      </c>
      <c r="AD8" s="2">
        <v>27.896744529999999</v>
      </c>
      <c r="AE8" s="2">
        <v>8.3370999999999995</v>
      </c>
      <c r="AF8" s="2">
        <v>30.739949330000002</v>
      </c>
    </row>
    <row r="9" spans="1:32" x14ac:dyDescent="0.3">
      <c r="A9" s="1">
        <f t="shared" si="0"/>
        <v>1.7109453496129701</v>
      </c>
      <c r="B9" s="1">
        <f t="shared" si="1"/>
        <v>-0.8889791811779274</v>
      </c>
      <c r="C9" s="1">
        <f t="shared" si="2"/>
        <v>-3.8809808395812911E-2</v>
      </c>
      <c r="D9" s="1">
        <f t="shared" si="3"/>
        <v>0.1170212765957436</v>
      </c>
      <c r="E9" s="1">
        <f>(7 - 7.5) / 4.4721</f>
        <v>-0.11180429775720578</v>
      </c>
      <c r="F9" s="1">
        <f t="shared" si="4"/>
        <v>1.6721509215478143</v>
      </c>
      <c r="G9" s="1">
        <f t="shared" si="5"/>
        <v>47.597047297809446</v>
      </c>
      <c r="H9">
        <f t="shared" si="6"/>
        <v>48.587596533688483</v>
      </c>
      <c r="I9">
        <v>7</v>
      </c>
      <c r="R9" s="1">
        <v>35</v>
      </c>
      <c r="S9" s="1">
        <v>30</v>
      </c>
      <c r="T9" s="1">
        <v>2</v>
      </c>
      <c r="U9" s="2">
        <v>28.131707529884789</v>
      </c>
      <c r="V9" s="2"/>
      <c r="W9" s="2"/>
      <c r="X9" s="2">
        <v>29.290409088134702</v>
      </c>
      <c r="Y9" s="2"/>
      <c r="Z9" s="2"/>
      <c r="AC9" s="2"/>
      <c r="AD9" s="2"/>
      <c r="AE9" s="2"/>
      <c r="AF9" s="2"/>
    </row>
    <row r="10" spans="1:32" x14ac:dyDescent="0.3">
      <c r="A10" s="1">
        <f t="shared" si="0"/>
        <v>1.7109453496129701</v>
      </c>
      <c r="B10" s="1">
        <f t="shared" si="1"/>
        <v>-0.8889791811779274</v>
      </c>
      <c r="C10" s="1">
        <f t="shared" si="2"/>
        <v>-3.8809808395812911E-2</v>
      </c>
      <c r="D10" s="1">
        <f t="shared" si="3"/>
        <v>0.1170212765957436</v>
      </c>
      <c r="E10" s="1">
        <f>(8 - 7.5) / 4.4721</f>
        <v>0.11180429775720578</v>
      </c>
      <c r="F10" s="1">
        <f t="shared" si="4"/>
        <v>1.6721509215478143</v>
      </c>
      <c r="G10" s="1">
        <f t="shared" si="5"/>
        <v>49.836483365952539</v>
      </c>
      <c r="H10">
        <f t="shared" si="6"/>
        <v>51.577791375020709</v>
      </c>
      <c r="I10">
        <v>8</v>
      </c>
      <c r="R10" s="1">
        <v>45</v>
      </c>
      <c r="S10" s="1">
        <v>30</v>
      </c>
      <c r="T10" s="1">
        <v>2</v>
      </c>
      <c r="U10" s="2">
        <v>33.461469369562124</v>
      </c>
      <c r="V10" s="2"/>
      <c r="W10" s="2"/>
      <c r="X10" s="2">
        <v>35.029247283935497</v>
      </c>
      <c r="Y10" s="2"/>
      <c r="Z10" s="2"/>
      <c r="AC10" s="2"/>
      <c r="AD10" s="2"/>
      <c r="AE10" s="2"/>
      <c r="AF10" s="2"/>
    </row>
    <row r="11" spans="1:32" x14ac:dyDescent="0.3">
      <c r="A11" s="1">
        <f t="shared" si="0"/>
        <v>1.7109453496129701</v>
      </c>
      <c r="B11" s="1">
        <f t="shared" si="1"/>
        <v>-0.8889791811779274</v>
      </c>
      <c r="C11" s="1">
        <f t="shared" si="2"/>
        <v>-3.8809808395812911E-2</v>
      </c>
      <c r="D11" s="1">
        <f t="shared" si="3"/>
        <v>0.1170212765957436</v>
      </c>
      <c r="E11" s="1">
        <f>(9 - 7.5) / 4.4721</f>
        <v>0.33541289327161733</v>
      </c>
      <c r="F11" s="1">
        <f t="shared" si="4"/>
        <v>1.6721509215478143</v>
      </c>
      <c r="G11" s="1">
        <f t="shared" si="5"/>
        <v>51.794550609825627</v>
      </c>
      <c r="H11">
        <f t="shared" si="6"/>
        <v>54.284821663208518</v>
      </c>
      <c r="I11">
        <v>9</v>
      </c>
      <c r="R11" s="1">
        <v>25</v>
      </c>
      <c r="S11" s="1">
        <v>30</v>
      </c>
      <c r="T11" s="1">
        <v>3</v>
      </c>
      <c r="U11" s="2">
        <v>24.647701616931677</v>
      </c>
      <c r="V11" s="2">
        <v>10.82</v>
      </c>
      <c r="W11" s="2">
        <v>28.94698</v>
      </c>
      <c r="X11" s="2">
        <v>24.541652679443299</v>
      </c>
      <c r="Y11" s="2">
        <v>9.3462999999999994</v>
      </c>
      <c r="Z11" s="2">
        <v>31.399891180000001</v>
      </c>
      <c r="AA11" s="1">
        <v>30</v>
      </c>
      <c r="AB11" s="1">
        <v>3</v>
      </c>
      <c r="AC11" s="2">
        <v>10.82</v>
      </c>
      <c r="AD11" s="2">
        <v>28.94698</v>
      </c>
      <c r="AE11" s="2">
        <v>9.3462999999999994</v>
      </c>
      <c r="AF11" s="2">
        <v>31.399891180000001</v>
      </c>
    </row>
    <row r="12" spans="1:32" x14ac:dyDescent="0.3">
      <c r="A12" s="1">
        <f t="shared" si="0"/>
        <v>1.7109453496129701</v>
      </c>
      <c r="B12" s="1">
        <f t="shared" si="1"/>
        <v>-0.8889791811779274</v>
      </c>
      <c r="C12" s="1">
        <f t="shared" si="2"/>
        <v>-3.8809808395812911E-2</v>
      </c>
      <c r="D12" s="1">
        <f t="shared" si="3"/>
        <v>0.1170212765957436</v>
      </c>
      <c r="E12" s="1">
        <f>(10 - 7.5) / 4.4721</f>
        <v>0.55902148878602886</v>
      </c>
      <c r="F12" s="1">
        <f t="shared" si="4"/>
        <v>1.6721509215478143</v>
      </c>
      <c r="G12" s="1">
        <f t="shared" si="5"/>
        <v>53.471249029428712</v>
      </c>
      <c r="H12">
        <f t="shared" si="6"/>
        <v>56.708687398251882</v>
      </c>
      <c r="I12">
        <v>10</v>
      </c>
      <c r="R12" s="1">
        <v>35</v>
      </c>
      <c r="S12" s="1">
        <v>30</v>
      </c>
      <c r="T12" s="1">
        <v>3</v>
      </c>
      <c r="U12" s="2">
        <v>30.177211710432861</v>
      </c>
      <c r="V12" s="2"/>
      <c r="W12" s="2"/>
      <c r="X12" s="2">
        <v>30.841041564941399</v>
      </c>
      <c r="Y12" s="2"/>
      <c r="Z12" s="2"/>
      <c r="AC12" s="2"/>
      <c r="AD12" s="2"/>
      <c r="AE12" s="2"/>
      <c r="AF12" s="2"/>
    </row>
    <row r="13" spans="1:32" x14ac:dyDescent="0.3">
      <c r="A13" s="1">
        <f t="shared" si="0"/>
        <v>1.7109453496129701</v>
      </c>
      <c r="B13" s="1">
        <f t="shared" si="1"/>
        <v>-0.8889791811779274</v>
      </c>
      <c r="C13" s="1">
        <f t="shared" si="2"/>
        <v>-3.8809808395812911E-2</v>
      </c>
      <c r="D13" s="1">
        <f t="shared" si="3"/>
        <v>0.1170212765957436</v>
      </c>
      <c r="E13" s="1">
        <f>(11 - 7.5) / 4.4721</f>
        <v>0.78263008430044045</v>
      </c>
      <c r="F13" s="1">
        <f t="shared" si="4"/>
        <v>1.6721509215478143</v>
      </c>
      <c r="G13" s="1">
        <f t="shared" si="5"/>
        <v>54.866578624761765</v>
      </c>
      <c r="H13">
        <f t="shared" si="6"/>
        <v>58.849388580150809</v>
      </c>
      <c r="I13">
        <v>11</v>
      </c>
      <c r="R13" s="1">
        <v>45</v>
      </c>
      <c r="S13" s="1">
        <v>30</v>
      </c>
      <c r="T13" s="1">
        <v>3</v>
      </c>
      <c r="U13" s="2">
        <v>35.709761597772143</v>
      </c>
      <c r="V13" s="2"/>
      <c r="W13" s="2"/>
      <c r="X13" s="2">
        <v>36.749992370605398</v>
      </c>
      <c r="Y13" s="2"/>
      <c r="Z13" s="2"/>
      <c r="AC13" s="2"/>
      <c r="AD13" s="2"/>
      <c r="AE13" s="2"/>
      <c r="AF13" s="2"/>
    </row>
    <row r="14" spans="1:32" x14ac:dyDescent="0.3">
      <c r="A14" s="1">
        <f t="shared" si="0"/>
        <v>1.7109453496129701</v>
      </c>
      <c r="B14" s="1">
        <f t="shared" si="1"/>
        <v>-0.8889791811779274</v>
      </c>
      <c r="C14" s="1">
        <f t="shared" si="2"/>
        <v>-3.8809808395812911E-2</v>
      </c>
      <c r="D14" s="1">
        <f t="shared" si="3"/>
        <v>0.1170212765957436</v>
      </c>
      <c r="E14" s="1">
        <f>(12 - 7.5) / 4.4721</f>
        <v>1.0062386798148519</v>
      </c>
      <c r="F14" s="1">
        <f t="shared" si="4"/>
        <v>1.6721509215478143</v>
      </c>
      <c r="G14" s="1">
        <f t="shared" si="5"/>
        <v>55.980539395824827</v>
      </c>
      <c r="H14">
        <f t="shared" si="6"/>
        <v>60.706925208905311</v>
      </c>
      <c r="I14">
        <v>12</v>
      </c>
      <c r="R14" s="1">
        <v>25</v>
      </c>
      <c r="S14" s="1">
        <v>30</v>
      </c>
      <c r="T14" s="1">
        <v>4</v>
      </c>
      <c r="U14" s="2">
        <v>25.935757210837377</v>
      </c>
      <c r="V14" s="2">
        <v>11.583</v>
      </c>
      <c r="W14" s="2">
        <v>29.847000000000001</v>
      </c>
      <c r="X14" s="2">
        <v>25.577062606811499</v>
      </c>
      <c r="Y14" s="2">
        <v>10.081</v>
      </c>
      <c r="Z14" s="2">
        <v>31.90639303</v>
      </c>
      <c r="AA14" s="1">
        <v>30</v>
      </c>
      <c r="AB14" s="1">
        <v>4</v>
      </c>
      <c r="AC14" s="2">
        <v>11.583</v>
      </c>
      <c r="AD14" s="2">
        <v>29.847000000000001</v>
      </c>
      <c r="AE14" s="2">
        <v>10.081</v>
      </c>
      <c r="AF14" s="2">
        <v>31.90639303</v>
      </c>
    </row>
    <row r="15" spans="1:32" x14ac:dyDescent="0.3">
      <c r="A15" s="1">
        <f t="shared" si="0"/>
        <v>1.7109453496129701</v>
      </c>
      <c r="B15" s="1">
        <f t="shared" si="1"/>
        <v>-0.8889791811779274</v>
      </c>
      <c r="C15" s="1">
        <f t="shared" si="2"/>
        <v>-3.8809808395812911E-2</v>
      </c>
      <c r="D15" s="1">
        <f t="shared" si="3"/>
        <v>0.1170212765957436</v>
      </c>
      <c r="E15" s="1">
        <f>(13 - 7.5) / 4.4721</f>
        <v>1.2298472753292635</v>
      </c>
      <c r="F15" s="1">
        <f t="shared" si="4"/>
        <v>1.6721509215478143</v>
      </c>
      <c r="G15" s="1">
        <f t="shared" si="5"/>
        <v>56.813131342617872</v>
      </c>
      <c r="H15">
        <f t="shared" si="6"/>
        <v>62.281297284515418</v>
      </c>
      <c r="I15">
        <v>13</v>
      </c>
      <c r="R15" s="1">
        <v>35</v>
      </c>
      <c r="S15" s="1">
        <v>30</v>
      </c>
      <c r="T15" s="1">
        <v>4</v>
      </c>
      <c r="U15" s="2">
        <v>31.652166612809189</v>
      </c>
      <c r="V15" s="2"/>
      <c r="W15" s="2"/>
      <c r="X15" s="2">
        <v>32.009544372558501</v>
      </c>
      <c r="Y15" s="2"/>
      <c r="Z15" s="2"/>
      <c r="AC15" s="2"/>
      <c r="AD15" s="2"/>
      <c r="AE15" s="2"/>
      <c r="AF15" s="2"/>
    </row>
    <row r="16" spans="1:32" x14ac:dyDescent="0.3">
      <c r="A16" s="1">
        <f t="shared" si="0"/>
        <v>1.7109453496129701</v>
      </c>
      <c r="B16" s="1">
        <f t="shared" si="1"/>
        <v>-0.8889791811779274</v>
      </c>
      <c r="C16" s="1">
        <f t="shared" si="2"/>
        <v>-3.8809808395812911E-2</v>
      </c>
      <c r="D16" s="1">
        <f t="shared" si="3"/>
        <v>0.1170212765957436</v>
      </c>
      <c r="E16" s="1">
        <f>(14 - 7.5) / 4.4721</f>
        <v>1.4534558708436751</v>
      </c>
      <c r="F16" s="1">
        <f t="shared" si="4"/>
        <v>1.6721509215478143</v>
      </c>
      <c r="G16" s="1">
        <f t="shared" si="5"/>
        <v>57.364354465140913</v>
      </c>
      <c r="H16">
        <f t="shared" si="6"/>
        <v>63.572504806981037</v>
      </c>
      <c r="I16">
        <v>14</v>
      </c>
      <c r="R16" s="1">
        <v>45</v>
      </c>
      <c r="S16" s="1">
        <v>30</v>
      </c>
      <c r="T16" s="1">
        <v>4</v>
      </c>
      <c r="U16" s="2">
        <v>37.412499624028626</v>
      </c>
      <c r="V16" s="2"/>
      <c r="W16" s="2"/>
      <c r="X16" s="2">
        <v>38.029319763183501</v>
      </c>
      <c r="Y16" s="2"/>
      <c r="Z16" s="2"/>
      <c r="AC16" s="2"/>
      <c r="AD16" s="2"/>
      <c r="AE16" s="2"/>
      <c r="AF16" s="2"/>
    </row>
    <row r="17" spans="1:32" x14ac:dyDescent="0.3">
      <c r="A17" s="1">
        <f t="shared" si="0"/>
        <v>1.7109453496129701</v>
      </c>
      <c r="B17" s="1">
        <f t="shared" si="1"/>
        <v>-0.8889791811779274</v>
      </c>
      <c r="C17" s="1">
        <f t="shared" si="2"/>
        <v>-3.8809808395812911E-2</v>
      </c>
      <c r="D17" s="1">
        <f t="shared" si="3"/>
        <v>0.1170212765957436</v>
      </c>
      <c r="E17" s="1">
        <f>(15 - 7.5) / 4.4721</f>
        <v>1.6770644663580867</v>
      </c>
      <c r="F17" s="1">
        <f t="shared" si="4"/>
        <v>1.6721509215478143</v>
      </c>
      <c r="G17" s="1">
        <f t="shared" si="5"/>
        <v>57.634208763393936</v>
      </c>
      <c r="H17">
        <f t="shared" si="6"/>
        <v>64.580547776302254</v>
      </c>
      <c r="I17">
        <v>15</v>
      </c>
      <c r="R17" s="1">
        <v>25</v>
      </c>
      <c r="S17" s="1">
        <v>30</v>
      </c>
      <c r="T17" s="1">
        <v>5</v>
      </c>
      <c r="U17" s="2">
        <v>26.637374787379997</v>
      </c>
      <c r="V17" s="2">
        <v>11.664</v>
      </c>
      <c r="W17" s="2">
        <v>30.917391869999999</v>
      </c>
      <c r="X17" s="2">
        <v>26.495018005371001</v>
      </c>
      <c r="Y17" s="2">
        <v>11.044</v>
      </c>
      <c r="Z17" s="2">
        <v>31.757507570000001</v>
      </c>
      <c r="AA17" s="1">
        <v>30</v>
      </c>
      <c r="AB17" s="1">
        <v>5</v>
      </c>
      <c r="AC17" s="2">
        <v>11.664</v>
      </c>
      <c r="AD17" s="2">
        <v>30.917391869999999</v>
      </c>
      <c r="AE17" s="2">
        <v>11.044</v>
      </c>
      <c r="AF17" s="2">
        <v>31.757507570000001</v>
      </c>
    </row>
    <row r="18" spans="1:32" x14ac:dyDescent="0.3">
      <c r="R18" s="1">
        <v>35</v>
      </c>
      <c r="S18" s="1">
        <v>30</v>
      </c>
      <c r="T18" s="1">
        <v>5</v>
      </c>
      <c r="U18" s="2">
        <v>32.624594728220472</v>
      </c>
      <c r="V18" s="2"/>
      <c r="W18" s="2"/>
      <c r="X18" s="2">
        <v>32.7594184875488</v>
      </c>
      <c r="Y18" s="2"/>
      <c r="Z18" s="2"/>
      <c r="AC18" s="2"/>
      <c r="AD18" s="2"/>
      <c r="AE18" s="2"/>
      <c r="AF18" s="2"/>
    </row>
    <row r="19" spans="1:32" x14ac:dyDescent="0.3">
      <c r="G19">
        <f>MAX(G2:G17)</f>
        <v>57.634208763393936</v>
      </c>
      <c r="H19">
        <f>MAX(H2:H17)</f>
        <v>64.580547776302254</v>
      </c>
      <c r="K19">
        <v>25</v>
      </c>
      <c r="L19">
        <v>13.4914636611938</v>
      </c>
      <c r="R19" s="1">
        <v>45</v>
      </c>
      <c r="S19" s="1">
        <v>30</v>
      </c>
      <c r="T19" s="1">
        <v>5</v>
      </c>
      <c r="U19" s="2">
        <v>38.615570658423778</v>
      </c>
      <c r="V19" s="2"/>
      <c r="W19" s="2"/>
      <c r="X19" s="2">
        <v>38.875381469726499</v>
      </c>
      <c r="Y19" s="2"/>
      <c r="Z19" s="2"/>
      <c r="AC19" s="2"/>
      <c r="AD19" s="2"/>
      <c r="AE19" s="2"/>
      <c r="AF19" s="2"/>
    </row>
    <row r="20" spans="1:32" x14ac:dyDescent="0.3">
      <c r="K20">
        <v>35</v>
      </c>
      <c r="L20">
        <v>17.810396194458001</v>
      </c>
      <c r="R20" s="1">
        <v>25</v>
      </c>
      <c r="S20" s="1">
        <v>40</v>
      </c>
      <c r="T20" s="1">
        <v>0</v>
      </c>
      <c r="U20" s="2">
        <v>13.829821902237871</v>
      </c>
      <c r="V20" s="2">
        <v>3.6233</v>
      </c>
      <c r="W20" s="2">
        <v>22.200371279999999</v>
      </c>
      <c r="X20" s="2">
        <v>13.4914636611938</v>
      </c>
      <c r="Y20" s="2">
        <v>3.41</v>
      </c>
      <c r="Z20" s="2">
        <v>22.126658989999999</v>
      </c>
      <c r="AA20" s="1">
        <v>40</v>
      </c>
      <c r="AB20" s="1">
        <v>0</v>
      </c>
      <c r="AC20" s="2">
        <v>3.6233</v>
      </c>
      <c r="AD20" s="2">
        <v>22.200371279999999</v>
      </c>
      <c r="AE20" s="2">
        <v>3.41</v>
      </c>
      <c r="AF20" s="2">
        <v>22.126658989999999</v>
      </c>
    </row>
    <row r="21" spans="1:32" x14ac:dyDescent="0.3">
      <c r="K21">
        <v>45</v>
      </c>
      <c r="L21">
        <v>21.624010086059499</v>
      </c>
      <c r="R21" s="1">
        <v>35</v>
      </c>
      <c r="S21" s="1">
        <v>40</v>
      </c>
      <c r="T21" s="1">
        <v>0</v>
      </c>
      <c r="U21" s="2">
        <v>17.901624594398822</v>
      </c>
      <c r="V21" s="2"/>
      <c r="W21" s="2"/>
      <c r="X21" s="2">
        <v>17.810396194458001</v>
      </c>
      <c r="Y21" s="2"/>
      <c r="Z21" s="2"/>
      <c r="AC21" s="2"/>
      <c r="AD21" s="2"/>
      <c r="AE21" s="2"/>
      <c r="AF21" s="2"/>
    </row>
    <row r="22" spans="1:32" x14ac:dyDescent="0.3">
      <c r="R22" s="1">
        <v>45</v>
      </c>
      <c r="S22" s="1">
        <v>40</v>
      </c>
      <c r="T22" s="1">
        <v>0</v>
      </c>
      <c r="U22" s="2">
        <v>21.992462842014604</v>
      </c>
      <c r="V22" s="2"/>
      <c r="W22" s="2"/>
      <c r="X22" s="2">
        <v>21.624010086059499</v>
      </c>
      <c r="Y22" s="2"/>
      <c r="Z22" s="2"/>
      <c r="AC22" s="2"/>
      <c r="AD22" s="2"/>
      <c r="AE22" s="2"/>
      <c r="AF22" s="2"/>
    </row>
    <row r="23" spans="1:32" x14ac:dyDescent="0.3">
      <c r="R23" s="1">
        <v>25</v>
      </c>
      <c r="S23" s="1">
        <v>40</v>
      </c>
      <c r="T23" s="1">
        <v>1</v>
      </c>
      <c r="U23" s="2">
        <v>16.514966288474223</v>
      </c>
      <c r="V23" s="2">
        <v>5.6801000000000004</v>
      </c>
      <c r="W23" s="2">
        <v>23.422260789999999</v>
      </c>
      <c r="X23" s="2">
        <v>16.969875335693299</v>
      </c>
      <c r="Y23" s="2">
        <v>6.4890999999999996</v>
      </c>
      <c r="Z23" s="2">
        <v>22.8505577</v>
      </c>
      <c r="AA23" s="1">
        <v>40</v>
      </c>
      <c r="AB23" s="1">
        <v>1</v>
      </c>
      <c r="AC23" s="2">
        <v>5.6801000000000004</v>
      </c>
      <c r="AD23" s="2">
        <v>23.422260789999999</v>
      </c>
      <c r="AE23" s="2">
        <v>6.4890999999999996</v>
      </c>
      <c r="AF23" s="2">
        <v>22.8505577</v>
      </c>
    </row>
    <row r="24" spans="1:32" x14ac:dyDescent="0.3">
      <c r="R24" s="1">
        <v>35</v>
      </c>
      <c r="S24" s="1">
        <v>40</v>
      </c>
      <c r="T24" s="1">
        <v>1</v>
      </c>
      <c r="U24" s="2">
        <v>20.832691465711036</v>
      </c>
      <c r="V24" s="2"/>
      <c r="W24" s="2"/>
      <c r="X24" s="2">
        <v>21.342658996581999</v>
      </c>
      <c r="Y24" s="2"/>
      <c r="Z24" s="2"/>
      <c r="AC24" s="2"/>
      <c r="AD24" s="2"/>
      <c r="AE24" s="2"/>
      <c r="AF24" s="2"/>
    </row>
    <row r="25" spans="1:32" x14ac:dyDescent="0.3">
      <c r="R25" s="1">
        <v>45</v>
      </c>
      <c r="S25" s="1">
        <v>40</v>
      </c>
      <c r="T25" s="1">
        <v>1</v>
      </c>
      <c r="U25" s="2">
        <v>25.179060686103487</v>
      </c>
      <c r="V25" s="2"/>
      <c r="W25" s="2"/>
      <c r="X25" s="2">
        <v>25.396934509277301</v>
      </c>
      <c r="Y25" s="2"/>
      <c r="Z25" s="2"/>
      <c r="AC25" s="2"/>
      <c r="AD25" s="2"/>
      <c r="AE25" s="2"/>
      <c r="AF25" s="2"/>
    </row>
    <row r="26" spans="1:32" x14ac:dyDescent="0.3">
      <c r="R26" s="1">
        <v>25</v>
      </c>
      <c r="S26" s="1">
        <v>40</v>
      </c>
      <c r="T26" s="1">
        <v>2</v>
      </c>
      <c r="U26" s="2">
        <v>18.715723248941249</v>
      </c>
      <c r="V26" s="2">
        <v>7.3857999999999997</v>
      </c>
      <c r="W26" s="2">
        <v>24.380033690000001</v>
      </c>
      <c r="X26" s="2">
        <v>19.033676147460898</v>
      </c>
      <c r="Y26" s="2">
        <v>7.0795000000000003</v>
      </c>
      <c r="Z26" s="2">
        <v>25.617717890000002</v>
      </c>
      <c r="AA26" s="1">
        <v>40</v>
      </c>
      <c r="AB26" s="1">
        <v>2</v>
      </c>
      <c r="AC26" s="2">
        <v>7.3857999999999997</v>
      </c>
      <c r="AD26" s="2">
        <v>24.380033690000001</v>
      </c>
      <c r="AE26" s="2">
        <v>7.0795000000000003</v>
      </c>
      <c r="AF26" s="2">
        <v>25.617717890000002</v>
      </c>
    </row>
    <row r="27" spans="1:32" x14ac:dyDescent="0.3">
      <c r="R27" s="1">
        <v>35</v>
      </c>
      <c r="S27" s="1">
        <v>40</v>
      </c>
      <c r="T27" s="1">
        <v>2</v>
      </c>
      <c r="U27" s="2">
        <v>23.245951983966219</v>
      </c>
      <c r="V27" s="2"/>
      <c r="W27" s="2"/>
      <c r="X27" s="2">
        <v>23.9254150390625</v>
      </c>
      <c r="Y27" s="2"/>
      <c r="Z27" s="2"/>
      <c r="AC27" s="2"/>
      <c r="AD27" s="2"/>
      <c r="AE27" s="2"/>
      <c r="AF27" s="2"/>
    </row>
    <row r="28" spans="1:32" x14ac:dyDescent="0.3">
      <c r="R28" s="1">
        <v>45</v>
      </c>
      <c r="S28" s="1">
        <v>40</v>
      </c>
      <c r="T28" s="1">
        <v>2</v>
      </c>
      <c r="U28" s="2">
        <v>27.779220512829287</v>
      </c>
      <c r="V28" s="2"/>
      <c r="W28" s="2"/>
      <c r="X28" s="2">
        <v>28.622905731201101</v>
      </c>
      <c r="Y28" s="2"/>
      <c r="Z28" s="2"/>
      <c r="AC28" s="2"/>
      <c r="AD28" s="2"/>
      <c r="AE28" s="2"/>
      <c r="AF28" s="2"/>
    </row>
    <row r="29" spans="1:32" x14ac:dyDescent="0.3">
      <c r="R29" s="1">
        <v>25</v>
      </c>
      <c r="S29" s="1">
        <v>40</v>
      </c>
      <c r="T29" s="1">
        <v>3</v>
      </c>
      <c r="U29" s="2">
        <v>20.355646441362733</v>
      </c>
      <c r="V29" s="2">
        <v>8.4048999999999996</v>
      </c>
      <c r="W29" s="2">
        <v>25.533806139999999</v>
      </c>
      <c r="X29" s="2">
        <v>20.146465301513601</v>
      </c>
      <c r="Y29" s="2">
        <v>7.7022000000000004</v>
      </c>
      <c r="Z29" s="2">
        <v>26.565509540000001</v>
      </c>
      <c r="AA29" s="1">
        <v>40</v>
      </c>
      <c r="AB29" s="1">
        <v>3</v>
      </c>
      <c r="AC29" s="2">
        <v>8.4048999999999996</v>
      </c>
      <c r="AD29" s="2">
        <v>25.533806139999999</v>
      </c>
      <c r="AE29" s="2">
        <v>7.7022000000000004</v>
      </c>
      <c r="AF29" s="2">
        <v>26.565509540000001</v>
      </c>
    </row>
    <row r="30" spans="1:32" x14ac:dyDescent="0.3">
      <c r="R30" s="1">
        <v>35</v>
      </c>
      <c r="S30" s="1">
        <v>40</v>
      </c>
      <c r="T30" s="1">
        <v>3</v>
      </c>
      <c r="U30" s="2">
        <v>25.103942790141641</v>
      </c>
      <c r="V30" s="2"/>
      <c r="W30" s="2"/>
      <c r="X30" s="2">
        <v>25.319587707519499</v>
      </c>
      <c r="Y30" s="2"/>
      <c r="Z30" s="2"/>
      <c r="AC30" s="2"/>
      <c r="AD30" s="2"/>
      <c r="AE30" s="2"/>
      <c r="AF30" s="2"/>
    </row>
    <row r="31" spans="1:32" x14ac:dyDescent="0.3">
      <c r="R31" s="1">
        <v>45</v>
      </c>
      <c r="S31" s="1">
        <v>40</v>
      </c>
      <c r="T31" s="1">
        <v>3</v>
      </c>
      <c r="U31" s="2">
        <v>29.908738053398107</v>
      </c>
      <c r="V31" s="2"/>
      <c r="W31" s="2"/>
      <c r="X31" s="2">
        <v>30.1478576660156</v>
      </c>
      <c r="Y31" s="2"/>
      <c r="Z31" s="2"/>
      <c r="AC31" s="2"/>
      <c r="AD31" s="2"/>
      <c r="AE31" s="2"/>
      <c r="AF31" s="2"/>
    </row>
    <row r="32" spans="1:32" x14ac:dyDescent="0.3">
      <c r="R32" s="1">
        <v>25</v>
      </c>
      <c r="S32" s="1">
        <v>40</v>
      </c>
      <c r="T32" s="1">
        <v>4</v>
      </c>
      <c r="U32" s="2">
        <v>21.483327336692977</v>
      </c>
      <c r="V32" s="2">
        <v>9.0074000000000005</v>
      </c>
      <c r="W32" s="2">
        <v>26.519196220000001</v>
      </c>
      <c r="X32" s="2">
        <v>21.214572906494102</v>
      </c>
      <c r="Y32" s="2">
        <v>8.6275999999999993</v>
      </c>
      <c r="Z32" s="2">
        <v>26.875891670000001</v>
      </c>
      <c r="AA32" s="1">
        <v>40</v>
      </c>
      <c r="AB32" s="1">
        <v>4</v>
      </c>
      <c r="AC32" s="2">
        <v>9.0074000000000005</v>
      </c>
      <c r="AD32" s="2">
        <v>26.519196220000001</v>
      </c>
      <c r="AE32" s="2">
        <v>8.6275999999999993</v>
      </c>
      <c r="AF32" s="2">
        <v>26.875891670000001</v>
      </c>
    </row>
    <row r="33" spans="18:32" x14ac:dyDescent="0.3">
      <c r="R33" s="1">
        <v>35</v>
      </c>
      <c r="S33" s="1">
        <v>40</v>
      </c>
      <c r="T33" s="1">
        <v>4</v>
      </c>
      <c r="U33" s="2">
        <v>26.471982114581948</v>
      </c>
      <c r="V33" s="2"/>
      <c r="W33" s="2"/>
      <c r="X33" s="2">
        <v>26.527889251708899</v>
      </c>
      <c r="Y33" s="2"/>
      <c r="Z33" s="2"/>
      <c r="AC33" s="2"/>
      <c r="AD33" s="2"/>
      <c r="AE33" s="2"/>
      <c r="AF33" s="2"/>
    </row>
    <row r="34" spans="18:32" x14ac:dyDescent="0.3">
      <c r="R34" s="1">
        <v>45</v>
      </c>
      <c r="S34" s="1">
        <v>40</v>
      </c>
      <c r="T34" s="1">
        <v>4</v>
      </c>
      <c r="U34" s="2">
        <v>31.463676686309032</v>
      </c>
      <c r="V34" s="2"/>
      <c r="W34" s="2"/>
      <c r="X34" s="2">
        <v>31.3496894836425</v>
      </c>
      <c r="Y34" s="2"/>
      <c r="Z34" s="2"/>
      <c r="AC34" s="2"/>
      <c r="AD34" s="2"/>
      <c r="AE34" s="2"/>
      <c r="AF34" s="2"/>
    </row>
    <row r="35" spans="18:32" x14ac:dyDescent="0.3">
      <c r="R35" s="1">
        <v>25</v>
      </c>
      <c r="S35" s="1">
        <v>40</v>
      </c>
      <c r="T35" s="1">
        <v>5</v>
      </c>
      <c r="U35" s="2">
        <v>22.078029335299579</v>
      </c>
      <c r="V35" s="2">
        <v>9.0114000000000001</v>
      </c>
      <c r="W35" s="2">
        <v>27.569061420000001</v>
      </c>
      <c r="X35" s="2">
        <v>21.964239120483398</v>
      </c>
      <c r="Y35" s="2">
        <v>9.1869999999999994</v>
      </c>
      <c r="Z35" s="2">
        <v>27.216758859999999</v>
      </c>
      <c r="AA35" s="1">
        <v>40</v>
      </c>
      <c r="AB35" s="1">
        <v>5</v>
      </c>
      <c r="AC35" s="2">
        <v>9.0114000000000001</v>
      </c>
      <c r="AD35" s="2">
        <v>27.569061420000001</v>
      </c>
      <c r="AE35" s="2">
        <v>9.1869999999999994</v>
      </c>
      <c r="AF35" s="2">
        <v>27.216758859999999</v>
      </c>
    </row>
    <row r="36" spans="18:32" x14ac:dyDescent="0.3">
      <c r="R36" s="1">
        <v>35</v>
      </c>
      <c r="S36" s="1">
        <v>40</v>
      </c>
      <c r="T36" s="1">
        <v>5</v>
      </c>
      <c r="U36" s="2">
        <v>27.256896855620578</v>
      </c>
      <c r="V36" s="2"/>
      <c r="W36" s="2"/>
      <c r="X36" s="2">
        <v>27.347478866577099</v>
      </c>
      <c r="Y36" s="2"/>
      <c r="Z36" s="2"/>
      <c r="AC36" s="2"/>
      <c r="AD36" s="2"/>
      <c r="AE36" s="2"/>
      <c r="AF36" s="2"/>
    </row>
    <row r="37" spans="18:32" x14ac:dyDescent="0.3">
      <c r="R37" s="1">
        <v>45</v>
      </c>
      <c r="S37" s="1">
        <v>40</v>
      </c>
      <c r="T37" s="1">
        <v>5</v>
      </c>
      <c r="U37" s="2">
        <v>32.520118161741053</v>
      </c>
      <c r="V37" s="2"/>
      <c r="W37" s="2"/>
      <c r="X37" s="2">
        <v>32.250129699707003</v>
      </c>
      <c r="Y37" s="2"/>
      <c r="Z37" s="2"/>
      <c r="AC37" s="2"/>
      <c r="AD37" s="2"/>
      <c r="AE37" s="2"/>
      <c r="AF37" s="2"/>
    </row>
    <row r="38" spans="18:32" x14ac:dyDescent="0.3">
      <c r="R38" s="1"/>
      <c r="S38" s="1"/>
      <c r="T38" s="1"/>
      <c r="U38" s="1"/>
      <c r="V38" s="1"/>
      <c r="W38" s="1"/>
    </row>
    <row r="39" spans="18:32" x14ac:dyDescent="0.3">
      <c r="R39" s="1"/>
      <c r="S39" s="1"/>
      <c r="T39" s="1"/>
      <c r="U39" s="1"/>
      <c r="V39" s="1"/>
      <c r="W3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derakhshan</dc:creator>
  <cp:lastModifiedBy>masood derakhshan</cp:lastModifiedBy>
  <dcterms:created xsi:type="dcterms:W3CDTF">2015-06-05T18:17:20Z</dcterms:created>
  <dcterms:modified xsi:type="dcterms:W3CDTF">2025-11-09T13:41:46Z</dcterms:modified>
</cp:coreProperties>
</file>